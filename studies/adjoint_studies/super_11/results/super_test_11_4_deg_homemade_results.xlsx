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n\git-repos\MachLine\studies\adjoint_studies\super_11\results\"/>
    </mc:Choice>
  </mc:AlternateContent>
  <xr:revisionPtr revIDLastSave="0" documentId="13_ncr:1_{A4CAA387-0BB7-4A27-8CBD-B56B2AB20FA9}" xr6:coauthVersionLast="47" xr6:coauthVersionMax="47" xr10:uidLastSave="{00000000-0000-0000-0000-000000000000}"/>
  <bookViews>
    <workbookView xWindow="-108" yWindow="-108" windowWidth="30936" windowHeight="16896" xr2:uid="{D57E76FC-1182-49E9-8F68-42D6DDFF6B7B}"/>
  </bookViews>
  <sheets>
    <sheet name="All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2" i="1" l="1"/>
  <c r="AK12" i="1"/>
  <c r="AH12" i="1"/>
  <c r="AE12" i="1"/>
  <c r="AC12" i="1"/>
  <c r="AB12" i="1"/>
  <c r="Y12" i="1"/>
  <c r="Y13" i="1"/>
  <c r="AH24" i="1"/>
  <c r="AG21" i="1"/>
  <c r="AH21" i="1"/>
  <c r="AG22" i="1"/>
  <c r="AH22" i="1"/>
  <c r="AG23" i="1"/>
  <c r="AH23" i="1"/>
  <c r="AG24" i="1"/>
  <c r="AG20" i="1"/>
  <c r="AH20" i="1"/>
  <c r="AF20" i="1"/>
  <c r="AH19" i="1"/>
  <c r="AG19" i="1"/>
  <c r="AF24" i="1"/>
  <c r="AF23" i="1"/>
  <c r="AF22" i="1"/>
  <c r="AF21" i="1"/>
  <c r="AF19" i="1"/>
  <c r="AM12" i="1"/>
  <c r="AM13" i="1"/>
  <c r="AN13" i="1"/>
  <c r="AL13" i="1"/>
  <c r="AL12" i="1"/>
  <c r="AG12" i="1"/>
  <c r="AG13" i="1"/>
  <c r="AH13" i="1"/>
  <c r="AF13" i="1"/>
  <c r="AJ12" i="1"/>
  <c r="AJ13" i="1"/>
  <c r="AK13" i="1"/>
  <c r="AI13" i="1"/>
  <c r="AI12" i="1"/>
  <c r="AF12" i="1"/>
  <c r="AD2" i="1"/>
  <c r="AE2" i="1"/>
  <c r="AD3" i="1"/>
  <c r="AE3" i="1"/>
  <c r="AD4" i="1"/>
  <c r="AE4" i="1"/>
  <c r="AD5" i="1"/>
  <c r="AE5" i="1"/>
  <c r="AD6" i="1"/>
  <c r="AE6" i="1"/>
  <c r="AD7" i="1"/>
  <c r="AE7" i="1"/>
  <c r="AD8" i="1"/>
  <c r="AE8" i="1"/>
  <c r="AD9" i="1"/>
  <c r="AE9" i="1"/>
  <c r="AD10" i="1"/>
  <c r="AE10" i="1"/>
  <c r="AD11" i="1"/>
  <c r="AE11" i="1"/>
  <c r="AD12" i="1"/>
  <c r="AD13" i="1"/>
  <c r="AE13" i="1"/>
  <c r="AD14" i="1"/>
  <c r="AE14" i="1"/>
  <c r="AD15" i="1"/>
  <c r="AE15" i="1"/>
  <c r="AD16" i="1"/>
  <c r="AE16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2" i="1"/>
  <c r="Z10" i="1"/>
  <c r="AA2" i="1"/>
  <c r="AB2" i="1"/>
  <c r="AA3" i="1"/>
  <c r="AB3" i="1"/>
  <c r="AA4" i="1"/>
  <c r="AB4" i="1"/>
  <c r="AA5" i="1"/>
  <c r="AB5" i="1"/>
  <c r="AA6" i="1"/>
  <c r="AB6" i="1"/>
  <c r="AA7" i="1"/>
  <c r="AB7" i="1"/>
  <c r="AA8" i="1"/>
  <c r="AB8" i="1"/>
  <c r="AA9" i="1"/>
  <c r="AB9" i="1"/>
  <c r="AA10" i="1"/>
  <c r="AB10" i="1"/>
  <c r="AA11" i="1"/>
  <c r="AB11" i="1"/>
  <c r="AA12" i="1"/>
  <c r="AA13" i="1"/>
  <c r="AB13" i="1"/>
  <c r="AA14" i="1"/>
  <c r="AB14" i="1"/>
  <c r="AA15" i="1"/>
  <c r="AB15" i="1"/>
  <c r="AA16" i="1"/>
  <c r="AB16" i="1"/>
  <c r="Z3" i="1"/>
  <c r="Z4" i="1"/>
  <c r="Z5" i="1"/>
  <c r="Z6" i="1"/>
  <c r="Z7" i="1"/>
  <c r="Z8" i="1"/>
  <c r="Z9" i="1"/>
  <c r="Z11" i="1"/>
  <c r="Z12" i="1"/>
  <c r="Z13" i="1"/>
  <c r="Z14" i="1"/>
  <c r="Z15" i="1"/>
  <c r="Z16" i="1"/>
  <c r="Z2" i="1"/>
  <c r="X2" i="1"/>
  <c r="Y2" i="1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X13" i="1"/>
  <c r="X14" i="1"/>
  <c r="Y14" i="1"/>
  <c r="X15" i="1"/>
  <c r="Y15" i="1"/>
  <c r="X16" i="1"/>
  <c r="Y16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2" i="1"/>
</calcChain>
</file>

<file path=xl/sharedStrings.xml><?xml version="1.0" encoding="utf-8"?>
<sst xmlns="http://schemas.openxmlformats.org/spreadsheetml/2006/main" count="18" uniqueCount="18">
  <si>
    <t>cp_offset</t>
  </si>
  <si>
    <t>norm_d_CFx</t>
  </si>
  <si>
    <t>norm_d_CFy</t>
  </si>
  <si>
    <t>norm_d_CFz</t>
  </si>
  <si>
    <t>Step 1e-3</t>
  </si>
  <si>
    <t>Step 1e-4</t>
  </si>
  <si>
    <t xml:space="preserve"> % relative error (step 1e-3)</t>
  </si>
  <si>
    <t xml:space="preserve"> % relative error (step 1e-4)</t>
  </si>
  <si>
    <t>Step 1e-5</t>
  </si>
  <si>
    <t xml:space="preserve"> % relative error (step 1e-5)</t>
  </si>
  <si>
    <t>Step 1e-6</t>
  </si>
  <si>
    <t>Step 1e-7</t>
  </si>
  <si>
    <t xml:space="preserve"> % relative error (step 1e-6)</t>
  </si>
  <si>
    <t xml:space="preserve"> % relative error (step 1e-7)</t>
  </si>
  <si>
    <t>Step 1E-8</t>
  </si>
  <si>
    <t xml:space="preserve"> % relative error (step 1e-8)</t>
  </si>
  <si>
    <t>Step size</t>
  </si>
  <si>
    <t>CFx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</si>
</sst>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1" fontId="0" fillId="0" borderId="0" xfId="0" applyNumberFormat="1"/>
    <xf numFmtId="0" fontId="1" fillId="0" borderId="3" xfId="0" applyFont="1" applyBorder="1" applyAlignment="1">
      <alignment horizontal="center" vertical="top"/>
    </xf>
    <xf numFmtId="0" fontId="0" fillId="0" borderId="2" xfId="0" applyBorder="1"/>
    <xf numFmtId="0" fontId="0" fillId="0" borderId="4" xfId="0" applyBorder="1"/>
    <xf numFmtId="0" fontId="2" fillId="0" borderId="0" xfId="0" applyFont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/>
              <a:t>Norm</a:t>
            </a:r>
            <a:r>
              <a:rPr lang="en-US" sz="1200" baseline="0"/>
              <a:t> of CFx Sensitivities vs Control Point </a:t>
            </a:r>
            <a:r>
              <a:rPr lang="en-US" sz="1200" b="0" i="0" u="none" strike="noStrike" kern="1200" spc="0" baseline="0">
                <a:solidFill>
                  <a:sysClr val="windowText" lastClr="000000">
                    <a:lumMod val="95000"/>
                    <a:lumOff val="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Offset (Supersonic Delta Wing)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14159040930694"/>
          <c:y val="0.14308363059849386"/>
          <c:w val="0.64685122640126824"/>
          <c:h val="0.68921262963413754"/>
        </c:manualLayout>
      </c:layout>
      <c:scatterChart>
        <c:scatterStyle val="lineMarker"/>
        <c:varyColors val="0"/>
        <c:ser>
          <c:idx val="0"/>
          <c:order val="0"/>
          <c:tx>
            <c:v>Adjoint</c:v>
          </c:tx>
          <c:spPr>
            <a:ln w="19050" cap="rnd">
              <a:solidFill>
                <a:sysClr val="windowText" lastClr="000000">
                  <a:lumMod val="95000"/>
                  <a:lumOff val="5000"/>
                </a:sysClr>
              </a:solidFill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Data'!$B$2:$B$16</c:f>
              <c:numCache>
                <c:formatCode>General</c:formatCode>
                <c:ptCount val="15"/>
                <c:pt idx="0">
                  <c:v>2710026.1405519401</c:v>
                </c:pt>
                <c:pt idx="1">
                  <c:v>3075537.5069084298</c:v>
                </c:pt>
                <c:pt idx="2">
                  <c:v>631258.14403239801</c:v>
                </c:pt>
                <c:pt idx="3">
                  <c:v>243.71656631852699</c:v>
                </c:pt>
                <c:pt idx="4">
                  <c:v>8.3594844251533704</c:v>
                </c:pt>
                <c:pt idx="5">
                  <c:v>1.71561839292473</c:v>
                </c:pt>
                <c:pt idx="6">
                  <c:v>1.7144363687698101</c:v>
                </c:pt>
                <c:pt idx="7">
                  <c:v>1.71499334239287</c:v>
                </c:pt>
                <c:pt idx="8">
                  <c:v>1.7152335277030299</c:v>
                </c:pt>
                <c:pt idx="9">
                  <c:v>1.71549325269492</c:v>
                </c:pt>
                <c:pt idx="10">
                  <c:v>1.71573761688594</c:v>
                </c:pt>
                <c:pt idx="11">
                  <c:v>1.7159373675238201</c:v>
                </c:pt>
                <c:pt idx="12">
                  <c:v>1.71571532889755</c:v>
                </c:pt>
                <c:pt idx="13">
                  <c:v>54.013642173702799</c:v>
                </c:pt>
                <c:pt idx="14">
                  <c:v>434.85259354109598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6C-46D6-A4F4-BDA5945684D7}"/>
            </c:ext>
          </c:extLst>
        </c:ser>
        <c:ser>
          <c:idx val="1"/>
          <c:order val="1"/>
          <c:tx>
            <c:v>Step Size = 1E-3</c:v>
          </c:tx>
          <c:spPr>
            <a:ln w="12700" cap="rnd">
              <a:solidFill>
                <a:sysClr val="windowText" lastClr="00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Data'!$E$2:$E$16</c:f>
              <c:numCache>
                <c:formatCode>General</c:formatCode>
                <c:ptCount val="15"/>
                <c:pt idx="0">
                  <c:v>58.732586698014202</c:v>
                </c:pt>
                <c:pt idx="1">
                  <c:v>79.854392819602225</c:v>
                </c:pt>
                <c:pt idx="2">
                  <c:v>90.983162902367653</c:v>
                </c:pt>
                <c:pt idx="3">
                  <c:v>120.4704932185831</c:v>
                </c:pt>
                <c:pt idx="4">
                  <c:v>136.96041552360069</c:v>
                </c:pt>
                <c:pt idx="5">
                  <c:v>2.8092603759587012</c:v>
                </c:pt>
                <c:pt idx="6">
                  <c:v>1.713998169970105</c:v>
                </c:pt>
                <c:pt idx="7">
                  <c:v>1.7057429268683939</c:v>
                </c:pt>
                <c:pt idx="8">
                  <c:v>1.705955252999896</c:v>
                </c:pt>
                <c:pt idx="9">
                  <c:v>1.7062138247195351</c:v>
                </c:pt>
                <c:pt idx="10">
                  <c:v>1.70643697629553</c:v>
                </c:pt>
                <c:pt idx="11">
                  <c:v>1.7067072169605799</c:v>
                </c:pt>
                <c:pt idx="12">
                  <c:v>1.70907152923503</c:v>
                </c:pt>
                <c:pt idx="13">
                  <c:v>15.261837113317631</c:v>
                </c:pt>
                <c:pt idx="14">
                  <c:v>3701.0953801215151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4C-4E3E-990B-761AB57C7255}"/>
            </c:ext>
          </c:extLst>
        </c:ser>
        <c:ser>
          <c:idx val="2"/>
          <c:order val="2"/>
          <c:tx>
            <c:v>Step size = 1E-4</c:v>
          </c:tx>
          <c:spPr>
            <a:ln w="19050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Data'!$H$2:$H$16</c:f>
              <c:numCache>
                <c:formatCode>General</c:formatCode>
                <c:ptCount val="15"/>
                <c:pt idx="0">
                  <c:v>636.63137310457978</c:v>
                </c:pt>
                <c:pt idx="1">
                  <c:v>549.08223404925218</c:v>
                </c:pt>
                <c:pt idx="2">
                  <c:v>806.71735455612281</c:v>
                </c:pt>
                <c:pt idx="3">
                  <c:v>1162.6298483930079</c:v>
                </c:pt>
                <c:pt idx="4">
                  <c:v>1205.274776555282</c:v>
                </c:pt>
                <c:pt idx="5">
                  <c:v>19.838316988526909</c:v>
                </c:pt>
                <c:pt idx="6">
                  <c:v>2.341413639222536</c:v>
                </c:pt>
                <c:pt idx="7">
                  <c:v>1.716467062596982</c:v>
                </c:pt>
                <c:pt idx="8">
                  <c:v>1.7150491904572149</c:v>
                </c:pt>
                <c:pt idx="9">
                  <c:v>1.7152753042754381</c:v>
                </c:pt>
                <c:pt idx="10">
                  <c:v>1.7155212721138571</c:v>
                </c:pt>
                <c:pt idx="11">
                  <c:v>1.715645087993444</c:v>
                </c:pt>
                <c:pt idx="12">
                  <c:v>1.7153768252394159</c:v>
                </c:pt>
                <c:pt idx="13">
                  <c:v>36.496633631204652</c:v>
                </c:pt>
                <c:pt idx="14">
                  <c:v>37098.603756751712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4C-4E3E-990B-761AB57C7255}"/>
            </c:ext>
          </c:extLst>
        </c:ser>
        <c:ser>
          <c:idx val="3"/>
          <c:order val="3"/>
          <c:tx>
            <c:v>Step size = 1e-5</c:v>
          </c:tx>
          <c:spPr>
            <a:ln w="19050" cap="rnd">
              <a:solidFill>
                <a:sysClr val="windowText" lastClr="0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Data'!$K$2:$K$16</c:f>
              <c:numCache>
                <c:formatCode>General</c:formatCode>
                <c:ptCount val="15"/>
                <c:pt idx="0">
                  <c:v>6916.1620893353856</c:v>
                </c:pt>
                <c:pt idx="1">
                  <c:v>5881.6045695509974</c:v>
                </c:pt>
                <c:pt idx="2">
                  <c:v>7074.5923842732054</c:v>
                </c:pt>
                <c:pt idx="3">
                  <c:v>14693.08660362819</c:v>
                </c:pt>
                <c:pt idx="4">
                  <c:v>13412.175346883279</c:v>
                </c:pt>
                <c:pt idx="5">
                  <c:v>162.1561195933119</c:v>
                </c:pt>
                <c:pt idx="6">
                  <c:v>13.937979317276911</c:v>
                </c:pt>
                <c:pt idx="7">
                  <c:v>1.819422912933282</c:v>
                </c:pt>
                <c:pt idx="8">
                  <c:v>1.716737390196212</c:v>
                </c:pt>
                <c:pt idx="9">
                  <c:v>1.715517230669291</c:v>
                </c:pt>
                <c:pt idx="10">
                  <c:v>1.715736195792573</c:v>
                </c:pt>
                <c:pt idx="11">
                  <c:v>1.715935167449876</c:v>
                </c:pt>
                <c:pt idx="12">
                  <c:v>1.715713162021506</c:v>
                </c:pt>
                <c:pt idx="13">
                  <c:v>53.641676969637373</c:v>
                </c:pt>
                <c:pt idx="14">
                  <c:v>372141.77072143077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4C-4E3E-990B-761AB57C7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032904"/>
        <c:axId val="571033232"/>
      </c:scatterChart>
      <c:valAx>
        <c:axId val="571032904"/>
        <c:scaling>
          <c:logBase val="10"/>
          <c:orientation val="minMax"/>
          <c:max val="0.1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Control Point</a:t>
                </a:r>
                <a:r>
                  <a:rPr lang="en-US" baseline="0"/>
                  <a:t> Offset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3232"/>
        <c:crosses val="autoZero"/>
        <c:crossBetween val="midCat"/>
      </c:valAx>
      <c:valAx>
        <c:axId val="5710332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Norm of CFx Sensitivities</a:t>
                </a:r>
              </a:p>
            </c:rich>
          </c:tx>
          <c:layout>
            <c:manualLayout>
              <c:xMode val="edge"/>
              <c:yMode val="edge"/>
              <c:x val="1.8018018018018018E-2"/>
              <c:y val="0.271102393413665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2904"/>
        <c:crossesAt val="5.0000000000000029E-12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/>
              <a:t>Norm</a:t>
            </a:r>
            <a:r>
              <a:rPr lang="en-US" sz="1200" baseline="0"/>
              <a:t> of CFy Sensitivities vs Control Point </a:t>
            </a:r>
            <a:r>
              <a:rPr lang="en-US" sz="1200" b="0" i="0" u="none" strike="noStrike" kern="1200" spc="0" baseline="0">
                <a:solidFill>
                  <a:sysClr val="windowText" lastClr="000000">
                    <a:lumMod val="95000"/>
                    <a:lumOff val="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Offset (Supersonic Delta Wing)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9006965732337"/>
          <c:y val="0.15101070154577884"/>
          <c:w val="0.65736193758222972"/>
          <c:h val="0.68921262963413754"/>
        </c:manualLayout>
      </c:layout>
      <c:scatterChart>
        <c:scatterStyle val="lineMarker"/>
        <c:varyColors val="0"/>
        <c:ser>
          <c:idx val="0"/>
          <c:order val="0"/>
          <c:tx>
            <c:v>Adjoint</c:v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Data'!$C$2:$C$16</c:f>
              <c:numCache>
                <c:formatCode>General</c:formatCode>
                <c:ptCount val="15"/>
                <c:pt idx="0">
                  <c:v>400943.63761864899</c:v>
                </c:pt>
                <c:pt idx="1">
                  <c:v>455265.18063864898</c:v>
                </c:pt>
                <c:pt idx="2">
                  <c:v>93443.786597516504</c:v>
                </c:pt>
                <c:pt idx="3">
                  <c:v>36.227778733925803</c:v>
                </c:pt>
                <c:pt idx="4">
                  <c:v>1.5301555395379101</c:v>
                </c:pt>
                <c:pt idx="5">
                  <c:v>1.27673789828192</c:v>
                </c:pt>
                <c:pt idx="6">
                  <c:v>1.2762671972158</c:v>
                </c:pt>
                <c:pt idx="7">
                  <c:v>1.2762649825785499</c:v>
                </c:pt>
                <c:pt idx="8">
                  <c:v>1.2762710764265</c:v>
                </c:pt>
                <c:pt idx="9">
                  <c:v>1.2762744391141001</c:v>
                </c:pt>
                <c:pt idx="10">
                  <c:v>1.2762748475291199</c:v>
                </c:pt>
                <c:pt idx="11">
                  <c:v>1.2762881817958101</c:v>
                </c:pt>
                <c:pt idx="12">
                  <c:v>1.27600122015833</c:v>
                </c:pt>
                <c:pt idx="13">
                  <c:v>9.2152158657454901</c:v>
                </c:pt>
                <c:pt idx="14">
                  <c:v>505.56405368639997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EA-46E4-AEC9-7599EA472C3A}"/>
            </c:ext>
          </c:extLst>
        </c:ser>
        <c:ser>
          <c:idx val="1"/>
          <c:order val="1"/>
          <c:tx>
            <c:v>Step size = 1E-3</c:v>
          </c:tx>
          <c:spPr>
            <a:ln w="190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Data'!$F$2:$F$16</c:f>
              <c:numCache>
                <c:formatCode>General</c:formatCode>
                <c:ptCount val="15"/>
                <c:pt idx="0">
                  <c:v>8.6834510056712446</c:v>
                </c:pt>
                <c:pt idx="1">
                  <c:v>11.61199206977574</c:v>
                </c:pt>
                <c:pt idx="2">
                  <c:v>13.014022558387159</c:v>
                </c:pt>
                <c:pt idx="3">
                  <c:v>17.55344387409647</c:v>
                </c:pt>
                <c:pt idx="4">
                  <c:v>7.738832434554741</c:v>
                </c:pt>
                <c:pt idx="5">
                  <c:v>1.2839935846055719</c:v>
                </c:pt>
                <c:pt idx="6">
                  <c:v>1.281778695884803</c:v>
                </c:pt>
                <c:pt idx="7">
                  <c:v>1.2817734539699619</c:v>
                </c:pt>
                <c:pt idx="8">
                  <c:v>1.281780196180921</c:v>
                </c:pt>
                <c:pt idx="9">
                  <c:v>1.281783450937046</c:v>
                </c:pt>
                <c:pt idx="10">
                  <c:v>1.2817614682660461</c:v>
                </c:pt>
                <c:pt idx="11">
                  <c:v>1.281818574778643</c:v>
                </c:pt>
                <c:pt idx="12">
                  <c:v>1.283714485977421</c:v>
                </c:pt>
                <c:pt idx="13">
                  <c:v>4.3055474268366014</c:v>
                </c:pt>
                <c:pt idx="14">
                  <c:v>1971.370883849263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EA-46E4-AEC9-7599EA472C3A}"/>
            </c:ext>
          </c:extLst>
        </c:ser>
        <c:ser>
          <c:idx val="2"/>
          <c:order val="2"/>
          <c:tx>
            <c:v>Step size = 1E-4</c:v>
          </c:tx>
          <c:spPr>
            <a:ln w="19050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Data'!$I$2:$I$16</c:f>
              <c:numCache>
                <c:formatCode>General</c:formatCode>
                <c:ptCount val="15"/>
                <c:pt idx="0">
                  <c:v>90.269564378028306</c:v>
                </c:pt>
                <c:pt idx="1">
                  <c:v>72.992533753277172</c:v>
                </c:pt>
                <c:pt idx="2">
                  <c:v>107.8789871346172</c:v>
                </c:pt>
                <c:pt idx="3">
                  <c:v>158.88083642404669</c:v>
                </c:pt>
                <c:pt idx="4">
                  <c:v>61.261436371629031</c:v>
                </c:pt>
                <c:pt idx="5">
                  <c:v>1.3669890063767329</c:v>
                </c:pt>
                <c:pt idx="6">
                  <c:v>1.2768035343820929</c:v>
                </c:pt>
                <c:pt idx="7">
                  <c:v>1.2761658649488321</c:v>
                </c:pt>
                <c:pt idx="8">
                  <c:v>1.2761815827714871</c:v>
                </c:pt>
                <c:pt idx="9">
                  <c:v>1.27618478645888</c:v>
                </c:pt>
                <c:pt idx="10">
                  <c:v>1.276185231069171</c:v>
                </c:pt>
                <c:pt idx="11">
                  <c:v>1.276134980310347</c:v>
                </c:pt>
                <c:pt idx="12">
                  <c:v>1.2758091031237631</c:v>
                </c:pt>
                <c:pt idx="13">
                  <c:v>7.4595547920368492</c:v>
                </c:pt>
                <c:pt idx="14">
                  <c:v>19518.26251322333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EA-46E4-AEC9-7599EA472C3A}"/>
            </c:ext>
          </c:extLst>
        </c:ser>
        <c:ser>
          <c:idx val="3"/>
          <c:order val="3"/>
          <c:tx>
            <c:v>Step size = 1e-5</c:v>
          </c:tx>
          <c:spPr>
            <a:ln w="19050" cap="rnd">
              <a:solidFill>
                <a:sysClr val="windowText" lastClr="0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Data'!$L$2:$L$16</c:f>
              <c:numCache>
                <c:formatCode>General</c:formatCode>
                <c:ptCount val="15"/>
                <c:pt idx="0">
                  <c:v>947.19566192641628</c:v>
                </c:pt>
                <c:pt idx="1">
                  <c:v>856.865558700816</c:v>
                </c:pt>
                <c:pt idx="2">
                  <c:v>1035.7218249575831</c:v>
                </c:pt>
                <c:pt idx="3">
                  <c:v>1500.6878611410889</c:v>
                </c:pt>
                <c:pt idx="4">
                  <c:v>626.00558040900955</c:v>
                </c:pt>
                <c:pt idx="5">
                  <c:v>5.3119354897968112</c:v>
                </c:pt>
                <c:pt idx="6">
                  <c:v>1.3531679201246261</c:v>
                </c:pt>
                <c:pt idx="7">
                  <c:v>1.276606276307132</c:v>
                </c:pt>
                <c:pt idx="8">
                  <c:v>1.276284454875267</c:v>
                </c:pt>
                <c:pt idx="9">
                  <c:v>1.2762736515868749</c:v>
                </c:pt>
                <c:pt idx="10">
                  <c:v>1.2762739466446871</c:v>
                </c:pt>
                <c:pt idx="11">
                  <c:v>1.27628719213071</c:v>
                </c:pt>
                <c:pt idx="12">
                  <c:v>1.2760003055768161</c:v>
                </c:pt>
                <c:pt idx="13">
                  <c:v>9.1660563131406434</c:v>
                </c:pt>
                <c:pt idx="14">
                  <c:v>189168.13911742001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EA-46E4-AEC9-7599EA472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032904"/>
        <c:axId val="571033232"/>
      </c:scatterChart>
      <c:valAx>
        <c:axId val="571032904"/>
        <c:scaling>
          <c:logBase val="10"/>
          <c:orientation val="minMax"/>
          <c:max val="0.1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Control Point</a:t>
                </a:r>
                <a:r>
                  <a:rPr lang="en-US" baseline="0"/>
                  <a:t> Offset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3232"/>
        <c:crosses val="autoZero"/>
        <c:crossBetween val="midCat"/>
      </c:valAx>
      <c:valAx>
        <c:axId val="5710332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Norm of CFy Sensitivities</a:t>
                </a:r>
              </a:p>
            </c:rich>
          </c:tx>
          <c:layout>
            <c:manualLayout>
              <c:xMode val="edge"/>
              <c:yMode val="edge"/>
              <c:x val="1.8018018018018018E-2"/>
              <c:y val="0.271102393413665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2904"/>
        <c:crossesAt val="5.0000000000000029E-12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/>
              <a:t>Norm</a:t>
            </a:r>
            <a:r>
              <a:rPr lang="en-US" sz="1200" baseline="0"/>
              <a:t> of CFz Sensitivities vs Control Point Offset (Supersonic Delta Wing)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14159040930694"/>
          <c:y val="0.14308363059849386"/>
          <c:w val="0.64098357686468621"/>
          <c:h val="0.68921262963413754"/>
        </c:manualLayout>
      </c:layout>
      <c:scatterChart>
        <c:scatterStyle val="lineMarker"/>
        <c:varyColors val="0"/>
        <c:ser>
          <c:idx val="0"/>
          <c:order val="0"/>
          <c:tx>
            <c:v>Adjoint</c:v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Data'!$D$2:$D$16</c:f>
              <c:numCache>
                <c:formatCode>General</c:formatCode>
                <c:ptCount val="15"/>
                <c:pt idx="0">
                  <c:v>42913598.718688399</c:v>
                </c:pt>
                <c:pt idx="1">
                  <c:v>43295893.343493</c:v>
                </c:pt>
                <c:pt idx="2">
                  <c:v>8837612.6089460999</c:v>
                </c:pt>
                <c:pt idx="3">
                  <c:v>3443.7999268557101</c:v>
                </c:pt>
                <c:pt idx="4">
                  <c:v>149.41495813319901</c:v>
                </c:pt>
                <c:pt idx="5">
                  <c:v>14.217154179619</c:v>
                </c:pt>
                <c:pt idx="6">
                  <c:v>11.382380436221601</c:v>
                </c:pt>
                <c:pt idx="7">
                  <c:v>10.555664975469201</c:v>
                </c:pt>
                <c:pt idx="8">
                  <c:v>9.7083975599057606</c:v>
                </c:pt>
                <c:pt idx="9">
                  <c:v>8.9114215968771706</c:v>
                </c:pt>
                <c:pt idx="10">
                  <c:v>8.1855102754837397</c:v>
                </c:pt>
                <c:pt idx="11">
                  <c:v>7.5581872887178898</c:v>
                </c:pt>
                <c:pt idx="12">
                  <c:v>7.0617272810023204</c:v>
                </c:pt>
                <c:pt idx="13">
                  <c:v>779.38937142882401</c:v>
                </c:pt>
                <c:pt idx="14">
                  <c:v>1906.9511300423601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5-4044-A69E-6BBD3ADE9598}"/>
            </c:ext>
          </c:extLst>
        </c:ser>
        <c:ser>
          <c:idx val="1"/>
          <c:order val="1"/>
          <c:tx>
            <c:v>Step size = 1E-3</c:v>
          </c:tx>
          <c:spPr>
            <a:ln w="190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Data'!$G$2:$G$16</c:f>
              <c:numCache>
                <c:formatCode>General</c:formatCode>
                <c:ptCount val="15"/>
                <c:pt idx="0">
                  <c:v>1169.048535446389</c:v>
                </c:pt>
                <c:pt idx="1">
                  <c:v>1259.648878031478</c:v>
                </c:pt>
                <c:pt idx="2">
                  <c:v>1260.150561451271</c:v>
                </c:pt>
                <c:pt idx="3">
                  <c:v>1926.7792538416211</c:v>
                </c:pt>
                <c:pt idx="4">
                  <c:v>4997.6207314304747</c:v>
                </c:pt>
                <c:pt idx="5">
                  <c:v>482.32184940416641</c:v>
                </c:pt>
                <c:pt idx="6">
                  <c:v>43.136002190648753</c:v>
                </c:pt>
                <c:pt idx="7">
                  <c:v>10.68410659778873</c:v>
                </c:pt>
                <c:pt idx="8">
                  <c:v>9.7354691556613737</c:v>
                </c:pt>
                <c:pt idx="9">
                  <c:v>8.944095867320657</c:v>
                </c:pt>
                <c:pt idx="10">
                  <c:v>8.221499085254397</c:v>
                </c:pt>
                <c:pt idx="11">
                  <c:v>7.597351965716399</c:v>
                </c:pt>
                <c:pt idx="12">
                  <c:v>7.0888592861229824</c:v>
                </c:pt>
                <c:pt idx="13">
                  <c:v>160.8878097842493</c:v>
                </c:pt>
                <c:pt idx="14">
                  <c:v>35269.685321836223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75-4044-A69E-6BBD3ADE9598}"/>
            </c:ext>
          </c:extLst>
        </c:ser>
        <c:ser>
          <c:idx val="2"/>
          <c:order val="2"/>
          <c:tx>
            <c:v>Step size = 1E-4</c:v>
          </c:tx>
          <c:spPr>
            <a:ln w="19050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Data'!$J$2:$J$16</c:f>
              <c:numCache>
                <c:formatCode>General</c:formatCode>
                <c:ptCount val="15"/>
                <c:pt idx="0">
                  <c:v>12106.27670711433</c:v>
                </c:pt>
                <c:pt idx="1">
                  <c:v>9385.1984148213214</c:v>
                </c:pt>
                <c:pt idx="2">
                  <c:v>13756.677490046401</c:v>
                </c:pt>
                <c:pt idx="3">
                  <c:v>17896.47086994561</c:v>
                </c:pt>
                <c:pt idx="4">
                  <c:v>66834.290285052746</c:v>
                </c:pt>
                <c:pt idx="5">
                  <c:v>4441.7850326078833</c:v>
                </c:pt>
                <c:pt idx="6">
                  <c:v>343.42842381087411</c:v>
                </c:pt>
                <c:pt idx="7">
                  <c:v>22.915249863959101</c:v>
                </c:pt>
                <c:pt idx="8">
                  <c:v>9.6443127230552363</c:v>
                </c:pt>
                <c:pt idx="9">
                  <c:v>8.9320396762009224</c:v>
                </c:pt>
                <c:pt idx="10">
                  <c:v>8.1855274780582157</c:v>
                </c:pt>
                <c:pt idx="11">
                  <c:v>7.5571837700142028</c:v>
                </c:pt>
                <c:pt idx="12">
                  <c:v>7.061950071431724</c:v>
                </c:pt>
                <c:pt idx="13">
                  <c:v>535.68962095007078</c:v>
                </c:pt>
                <c:pt idx="14">
                  <c:v>350123.39705123729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75-4044-A69E-6BBD3ADE9598}"/>
            </c:ext>
          </c:extLst>
        </c:ser>
        <c:ser>
          <c:idx val="3"/>
          <c:order val="3"/>
          <c:tx>
            <c:v>Step size 1e-5</c:v>
          </c:tx>
          <c:spPr>
            <a:ln w="19050" cap="rnd">
              <a:solidFill>
                <a:sysClr val="windowText" lastClr="0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'All Data'!$A$2:$A$16</c:f>
              <c:numCache>
                <c:formatCode>0.00E+00</c:formatCode>
                <c:ptCount val="15"/>
                <c:pt idx="0">
                  <c:v>1E-10</c:v>
                </c:pt>
                <c:pt idx="1">
                  <c:v>3.9810717055349689E-10</c:v>
                </c:pt>
                <c:pt idx="2">
                  <c:v>1.5848931924611109E-9</c:v>
                </c:pt>
                <c:pt idx="3">
                  <c:v>6.3095734448019429E-9</c:v>
                </c:pt>
                <c:pt idx="4">
                  <c:v>2.5118864315095821E-8</c:v>
                </c:pt>
                <c:pt idx="5">
                  <c:v>9.9999999999999995E-8</c:v>
                </c:pt>
                <c:pt idx="6">
                  <c:v>3.9810717055349692E-7</c:v>
                </c:pt>
                <c:pt idx="7">
                  <c:v>1.5848931924611141E-6</c:v>
                </c:pt>
                <c:pt idx="8">
                  <c:v>6.3095734448019296E-6</c:v>
                </c:pt>
                <c:pt idx="9">
                  <c:v>2.5118864315095771E-5</c:v>
                </c:pt>
                <c:pt idx="10">
                  <c:v>1E-4</c:v>
                </c:pt>
                <c:pt idx="11">
                  <c:v>3.9810717055349692E-4</c:v>
                </c:pt>
                <c:pt idx="12">
                  <c:v>1.584893192461111E-3</c:v>
                </c:pt>
                <c:pt idx="13">
                  <c:v>6.3095734448019303E-3</c:v>
                </c:pt>
                <c:pt idx="14">
                  <c:v>2.5118864315095819E-2</c:v>
                </c:pt>
              </c:numCache>
            </c:numRef>
          </c:xVal>
          <c:yVal>
            <c:numRef>
              <c:f>'All Data'!$M$2:$M$16</c:f>
              <c:numCache>
                <c:formatCode>General</c:formatCode>
                <c:ptCount val="15"/>
                <c:pt idx="0">
                  <c:v>120088.18500763339</c:v>
                </c:pt>
                <c:pt idx="1">
                  <c:v>102962.3803960349</c:v>
                </c:pt>
                <c:pt idx="2">
                  <c:v>121023.3098584101</c:v>
                </c:pt>
                <c:pt idx="3">
                  <c:v>174539.9901840502</c:v>
                </c:pt>
                <c:pt idx="4">
                  <c:v>578354.41776134376</c:v>
                </c:pt>
                <c:pt idx="5">
                  <c:v>48750.569263504723</c:v>
                </c:pt>
                <c:pt idx="6">
                  <c:v>3029.7113302272028</c:v>
                </c:pt>
                <c:pt idx="7">
                  <c:v>126.83088350389851</c:v>
                </c:pt>
                <c:pt idx="8">
                  <c:v>17.457630716578681</c:v>
                </c:pt>
                <c:pt idx="9">
                  <c:v>9.0103349042390182</c:v>
                </c:pt>
                <c:pt idx="10">
                  <c:v>8.1760769245159413</c:v>
                </c:pt>
                <c:pt idx="11">
                  <c:v>7.5577927047213853</c:v>
                </c:pt>
                <c:pt idx="12">
                  <c:v>7.0619646868348456</c:v>
                </c:pt>
                <c:pt idx="13">
                  <c:v>774.20616052429125</c:v>
                </c:pt>
                <c:pt idx="14">
                  <c:v>3501226.4379743491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75-4044-A69E-6BBD3ADE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032904"/>
        <c:axId val="571033232"/>
      </c:scatterChart>
      <c:valAx>
        <c:axId val="571032904"/>
        <c:scaling>
          <c:logBase val="10"/>
          <c:orientation val="minMax"/>
          <c:max val="0.1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Control Point</a:t>
                </a:r>
                <a:r>
                  <a:rPr lang="en-US" baseline="0"/>
                  <a:t> Offset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3232"/>
        <c:crosses val="autoZero"/>
        <c:crossBetween val="midCat"/>
      </c:valAx>
      <c:valAx>
        <c:axId val="5710332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Norm of CFz Sensitivities</a:t>
                </a:r>
              </a:p>
            </c:rich>
          </c:tx>
          <c:layout>
            <c:manualLayout>
              <c:xMode val="edge"/>
              <c:yMode val="edge"/>
              <c:x val="1.8018018018018018E-2"/>
              <c:y val="0.271102393413665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2904"/>
        <c:crossesAt val="5.0000000000000029E-12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Absolute %</a:t>
            </a:r>
            <a:r>
              <a:rPr lang="en-US" baseline="0"/>
              <a:t> Percent Relative Error vs Step Size (Supersonic Delta wing)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769706911636046"/>
          <c:y val="0.14308362496354624"/>
          <c:w val="0.53672484166570811"/>
          <c:h val="0.68921262963413754"/>
        </c:manualLayout>
      </c:layout>
      <c:scatterChart>
        <c:scatterStyle val="lineMarker"/>
        <c:varyColors val="0"/>
        <c:ser>
          <c:idx val="0"/>
          <c:order val="0"/>
          <c:tx>
            <c:v>Norm of d_CFx</c:v>
          </c:tx>
          <c:spPr>
            <a:ln w="19050" cap="rnd">
              <a:solidFill>
                <a:sysClr val="windowText" lastClr="0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'All Data'!$AE$19:$AE$24</c:f>
              <c:numCache>
                <c:formatCode>0.00E+00</c:formatCode>
                <c:ptCount val="6"/>
                <c:pt idx="0">
                  <c:v>1E-3</c:v>
                </c:pt>
                <c:pt idx="1">
                  <c:v>1E-4</c:v>
                </c:pt>
                <c:pt idx="2">
                  <c:v>1.0000000000000001E-5</c:v>
                </c:pt>
                <c:pt idx="3">
                  <c:v>9.9999999999999995E-7</c:v>
                </c:pt>
                <c:pt idx="4">
                  <c:v>9.9999999999999995E-8</c:v>
                </c:pt>
                <c:pt idx="5">
                  <c:v>1E-8</c:v>
                </c:pt>
              </c:numCache>
            </c:numRef>
          </c:xVal>
          <c:yVal>
            <c:numRef>
              <c:f>'All Data'!$AF$19:$AF$24</c:f>
              <c:numCache>
                <c:formatCode>General</c:formatCode>
                <c:ptCount val="6"/>
                <c:pt idx="0">
                  <c:v>0.54503276239363319</c:v>
                </c:pt>
                <c:pt idx="1">
                  <c:v>1.2611022410482738E-2</c:v>
                </c:pt>
                <c:pt idx="2">
                  <c:v>8.2827031945071112E-5</c:v>
                </c:pt>
                <c:pt idx="3">
                  <c:v>1.5529940979645365E-5</c:v>
                </c:pt>
                <c:pt idx="4">
                  <c:v>1.214522041270893E-2</c:v>
                </c:pt>
                <c:pt idx="5">
                  <c:v>0.56269128005325186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7D-4806-870C-D4510DC2CE47}"/>
            </c:ext>
          </c:extLst>
        </c:ser>
        <c:ser>
          <c:idx val="1"/>
          <c:order val="1"/>
          <c:tx>
            <c:v>Norm of d_CFy</c:v>
          </c:tx>
          <c:spPr>
            <a:ln w="190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'All Data'!$AE$19:$AE$24</c:f>
              <c:numCache>
                <c:formatCode>0.00E+00</c:formatCode>
                <c:ptCount val="6"/>
                <c:pt idx="0">
                  <c:v>1E-3</c:v>
                </c:pt>
                <c:pt idx="1">
                  <c:v>1E-4</c:v>
                </c:pt>
                <c:pt idx="2">
                  <c:v>1.0000000000000001E-5</c:v>
                </c:pt>
                <c:pt idx="3">
                  <c:v>9.9999999999999995E-7</c:v>
                </c:pt>
                <c:pt idx="4">
                  <c:v>9.9999999999999995E-8</c:v>
                </c:pt>
                <c:pt idx="5">
                  <c:v>1E-8</c:v>
                </c:pt>
              </c:numCache>
            </c:numRef>
          </c:xVal>
          <c:yVal>
            <c:numRef>
              <c:f>'All Data'!$AG$19:$AG$24</c:f>
              <c:numCache>
                <c:formatCode>General</c:formatCode>
                <c:ptCount val="6"/>
                <c:pt idx="0">
                  <c:v>0.42805318093610889</c:v>
                </c:pt>
                <c:pt idx="1">
                  <c:v>7.0222141556827043E-3</c:v>
                </c:pt>
                <c:pt idx="2">
                  <c:v>7.0587073817425175E-5</c:v>
                </c:pt>
                <c:pt idx="3">
                  <c:v>2.096052583340898E-5</c:v>
                </c:pt>
                <c:pt idx="4">
                  <c:v>4.8790834701921025E-4</c:v>
                </c:pt>
                <c:pt idx="5">
                  <c:v>3.1783769029576823E-3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C6-4D32-AB7F-38BCBF888937}"/>
            </c:ext>
          </c:extLst>
        </c:ser>
        <c:ser>
          <c:idx val="2"/>
          <c:order val="2"/>
          <c:tx>
            <c:v>Norm of d_CFz</c:v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'All Data'!$AE$19:$AE$24</c:f>
              <c:numCache>
                <c:formatCode>0.00E+00</c:formatCode>
                <c:ptCount val="6"/>
                <c:pt idx="0">
                  <c:v>1E-3</c:v>
                </c:pt>
                <c:pt idx="1">
                  <c:v>1E-4</c:v>
                </c:pt>
                <c:pt idx="2">
                  <c:v>1.0000000000000001E-5</c:v>
                </c:pt>
                <c:pt idx="3">
                  <c:v>9.9999999999999995E-7</c:v>
                </c:pt>
                <c:pt idx="4">
                  <c:v>9.9999999999999995E-8</c:v>
                </c:pt>
                <c:pt idx="5">
                  <c:v>1E-8</c:v>
                </c:pt>
              </c:numCache>
            </c:numRef>
          </c:xVal>
          <c:yVal>
            <c:numRef>
              <c:f>'All Data'!$AH$19:$AH$24</c:f>
              <c:numCache>
                <c:formatCode>General</c:formatCode>
                <c:ptCount val="6"/>
                <c:pt idx="0">
                  <c:v>0.43774023930994244</c:v>
                </c:pt>
                <c:pt idx="1">
                  <c:v>2.1015841095309689E-4</c:v>
                </c:pt>
                <c:pt idx="2">
                  <c:v>0.11537747326609087</c:v>
                </c:pt>
                <c:pt idx="3">
                  <c:v>1.0645478556074124</c:v>
                </c:pt>
                <c:pt idx="4">
                  <c:v>27.630318004733539</c:v>
                </c:pt>
                <c:pt idx="5">
                  <c:v>79.643800969321873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C6-4D32-AB7F-38BCBF888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032904"/>
        <c:axId val="571033232"/>
      </c:scatterChart>
      <c:valAx>
        <c:axId val="571032904"/>
        <c:scaling>
          <c:logBase val="10"/>
          <c:orientation val="minMax"/>
          <c:max val="1.0000000000000002E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Step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3232"/>
        <c:crossesAt val="1.0000000000000006E-10"/>
        <c:crossBetween val="midCat"/>
      </c:valAx>
      <c:valAx>
        <c:axId val="57103323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Absolute</a:t>
                </a:r>
              </a:p>
              <a:p>
                <a:pPr>
                  <a:defRPr/>
                </a:pPr>
                <a:r>
                  <a:rPr lang="en-US"/>
                  <a:t>%</a:t>
                </a:r>
                <a:r>
                  <a:rPr lang="en-US" baseline="0"/>
                  <a:t> Relative Error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2462379702537182E-2"/>
              <c:y val="0.2988801399825021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71032904"/>
        <c:crossesAt val="1.0000000000000006E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611067366579175"/>
          <c:y val="0.44723133566637502"/>
          <c:w val="0.21027037954916991"/>
          <c:h val="0.220352143482064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853440</xdr:colOff>
      <xdr:row>20</xdr:row>
      <xdr:rowOff>133350</xdr:rowOff>
    </xdr:from>
    <xdr:to>
      <xdr:col>10</xdr:col>
      <xdr:colOff>396240</xdr:colOff>
      <xdr:row>38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209BAA-DC47-2D96-ED65-40BCDB730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22860</xdr:colOff>
      <xdr:row>40</xdr:row>
      <xdr:rowOff>7620</xdr:rowOff>
    </xdr:from>
    <xdr:to>
      <xdr:col>10</xdr:col>
      <xdr:colOff>419100</xdr:colOff>
      <xdr:row>57</xdr:row>
      <xdr:rowOff>102870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601F87-9D4F-4758-9BF7-7BFFB2EAC8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61</xdr:row>
      <xdr:rowOff>0</xdr:rowOff>
    </xdr:from>
    <xdr:to>
      <xdr:col>10</xdr:col>
      <xdr:colOff>480060</xdr:colOff>
      <xdr:row>78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AD1DF3-2E91-4C51-A2EC-6C0FD6DB6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487680</xdr:colOff>
      <xdr:row>20</xdr:row>
      <xdr:rowOff>19050</xdr:rowOff>
    </xdr:from>
    <xdr:to>
      <xdr:col>23</xdr:col>
      <xdr:colOff>129540</xdr:colOff>
      <xdr:row>35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CECF2A1-4817-77DC-BE54-BD1801EF3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ＭＳ 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明朝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ＭＳ 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明朝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ＭＳ 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明朝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ＭＳ 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明朝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1608-B517-4CAB-B962-1CF77FBFF5D4}">
  <dimension ref="A1:AN24"/>
  <sheetViews>
    <sheetView tabSelected="1" topLeftCell="A25" workbookViewId="0">
      <selection activeCell="Q41" sqref="Q41"/>
    </sheetView>
  </sheetViews>
  <sheetFormatPr defaultRowHeight="14.4" x14ac:dyDescent="0.3"/>
  <cols>
    <col min="1" max="1" width="12.5546875" customWidth="1"/>
    <col min="2" max="2" width="12.6640625" style="5" customWidth="1"/>
    <col min="3" max="3" width="16.88671875" customWidth="1"/>
    <col min="4" max="4" width="11.33203125" customWidth="1"/>
    <col min="5" max="5" width="8.88671875" style="5"/>
    <col min="8" max="8" width="8.88671875" style="5"/>
    <col min="11" max="11" width="8.88671875" style="5"/>
    <col min="13" max="13" width="8.88671875" style="6"/>
    <col min="14" max="14" width="8.88671875" style="5"/>
    <col min="16" max="16" width="8.88671875" style="6"/>
    <col min="17" max="17" width="8.88671875" style="5"/>
    <col min="19" max="19" width="8.88671875" style="6"/>
    <col min="20" max="20" width="8.88671875" style="5"/>
    <col min="22" max="22" width="8.88671875" style="6"/>
    <col min="23" max="23" width="8.88671875" style="5"/>
    <col min="25" max="25" width="8.88671875" style="6"/>
    <col min="26" max="26" width="8.88671875" style="5"/>
    <col min="28" max="28" width="8.88671875" style="6"/>
    <col min="29" max="29" width="12.6640625" bestFit="1" customWidth="1"/>
    <col min="32" max="32" width="12" bestFit="1" customWidth="1"/>
  </cols>
  <sheetData>
    <row r="1" spans="1:40" x14ac:dyDescent="0.3">
      <c r="A1" s="4" t="s">
        <v>0</v>
      </c>
      <c r="B1" s="1" t="s">
        <v>1</v>
      </c>
      <c r="C1" s="1" t="s">
        <v>2</v>
      </c>
      <c r="D1" s="4" t="s">
        <v>3</v>
      </c>
      <c r="F1" s="2" t="s">
        <v>4</v>
      </c>
      <c r="I1" s="7" t="s">
        <v>5</v>
      </c>
      <c r="L1" s="7" t="s">
        <v>8</v>
      </c>
      <c r="O1" s="7" t="s">
        <v>10</v>
      </c>
      <c r="R1" s="7" t="s">
        <v>11</v>
      </c>
      <c r="U1" t="s">
        <v>14</v>
      </c>
      <c r="X1" s="2" t="s">
        <v>6</v>
      </c>
      <c r="AA1" s="2" t="s">
        <v>7</v>
      </c>
      <c r="AC1" s="5"/>
      <c r="AD1" s="8" t="s">
        <v>9</v>
      </c>
      <c r="AE1" s="6"/>
      <c r="AF1" s="5"/>
      <c r="AG1" s="8" t="s">
        <v>12</v>
      </c>
      <c r="AH1" s="6"/>
      <c r="AI1" s="5"/>
      <c r="AJ1" s="8" t="s">
        <v>13</v>
      </c>
      <c r="AK1" s="6"/>
      <c r="AL1" s="5"/>
      <c r="AM1" s="8" t="s">
        <v>15</v>
      </c>
      <c r="AN1" s="6"/>
    </row>
    <row r="2" spans="1:40" x14ac:dyDescent="0.3">
      <c r="A2" s="3">
        <v>1E-10</v>
      </c>
      <c r="B2" s="5">
        <v>2710026.1405519401</v>
      </c>
      <c r="C2">
        <v>400943.63761864899</v>
      </c>
      <c r="D2">
        <v>42913598.718688399</v>
      </c>
      <c r="E2" s="5">
        <v>58.732586698014202</v>
      </c>
      <c r="F2">
        <v>8.6834510056712446</v>
      </c>
      <c r="G2">
        <v>1169.048535446389</v>
      </c>
      <c r="H2" s="5">
        <v>636.63137310457978</v>
      </c>
      <c r="I2">
        <v>90.269564378028306</v>
      </c>
      <c r="J2">
        <v>12106.27670711433</v>
      </c>
      <c r="K2">
        <v>6916.1620893353856</v>
      </c>
      <c r="L2">
        <v>947.19566192641628</v>
      </c>
      <c r="M2">
        <v>120088.18500763339</v>
      </c>
      <c r="W2" s="5">
        <f t="shared" ref="W2:W16" si="0">100*(E2-B2)/E2</f>
        <v>-4614078.0788339907</v>
      </c>
      <c r="X2" s="5">
        <f t="shared" ref="X2:X16" si="1">100*(F2-C2)/F2</f>
        <v>-4617230.5677292235</v>
      </c>
      <c r="Y2" s="5">
        <f t="shared" ref="Y2:Y16" si="2">100*(G2-D2)/G2</f>
        <v>-3670714.1208442035</v>
      </c>
      <c r="Z2" s="5">
        <f t="shared" ref="Z2:Z16" si="3">100*(H2-B2)/H2</f>
        <v>-425582.15376133565</v>
      </c>
      <c r="AA2" s="5">
        <f t="shared" ref="AA2:AA16" si="4">100*(I2-C2)/I2</f>
        <v>-444062.59276447672</v>
      </c>
      <c r="AB2" s="5">
        <f t="shared" ref="AB2:AB16" si="5">100*(J2-D2)/J2</f>
        <v>-354373.96220069838</v>
      </c>
      <c r="AC2" s="5">
        <f t="shared" ref="AC2:AC16" si="6">100*(K2-B2)/K2</f>
        <v>-39083.959333902232</v>
      </c>
      <c r="AD2" s="5">
        <f t="shared" ref="AD2:AD16" si="7">100*(L2-C2)/L2</f>
        <v>-42229.547498476262</v>
      </c>
      <c r="AE2" s="5">
        <f t="shared" ref="AE2:AE16" si="8">100*(M2-D2)/M2</f>
        <v>-35635.071452666722</v>
      </c>
      <c r="AF2" s="5"/>
      <c r="AI2" s="5"/>
      <c r="AL2" s="5"/>
    </row>
    <row r="3" spans="1:40" x14ac:dyDescent="0.3">
      <c r="A3" s="3">
        <v>3.9810717055349689E-10</v>
      </c>
      <c r="B3" s="5">
        <v>3075537.5069084298</v>
      </c>
      <c r="C3">
        <v>455265.18063864898</v>
      </c>
      <c r="D3">
        <v>43295893.343493</v>
      </c>
      <c r="E3" s="5">
        <v>79.854392819602225</v>
      </c>
      <c r="F3">
        <v>11.61199206977574</v>
      </c>
      <c r="G3">
        <v>1259.648878031478</v>
      </c>
      <c r="H3" s="5">
        <v>549.08223404925218</v>
      </c>
      <c r="I3">
        <v>72.992533753277172</v>
      </c>
      <c r="J3">
        <v>9385.1984148213214</v>
      </c>
      <c r="K3">
        <v>5881.6045695509974</v>
      </c>
      <c r="L3">
        <v>856.865558700816</v>
      </c>
      <c r="M3">
        <v>102962.3803960349</v>
      </c>
      <c r="W3" s="5">
        <f t="shared" si="0"/>
        <v>-3851331.8352608695</v>
      </c>
      <c r="X3" s="5">
        <f t="shared" si="1"/>
        <v>-3920546.6720179347</v>
      </c>
      <c r="Y3" s="5">
        <f t="shared" si="2"/>
        <v>-3437039.8330583884</v>
      </c>
      <c r="Z3" s="5">
        <f t="shared" si="3"/>
        <v>-560023.29596381669</v>
      </c>
      <c r="AA3" s="5">
        <f t="shared" si="4"/>
        <v>-623614.72427234217</v>
      </c>
      <c r="AB3" s="5">
        <f t="shared" si="5"/>
        <v>-461221.02306030231</v>
      </c>
      <c r="AC3" s="5">
        <f t="shared" si="6"/>
        <v>-52190.790217867645</v>
      </c>
      <c r="AD3" s="5">
        <f t="shared" si="7"/>
        <v>-53031.459890735299</v>
      </c>
      <c r="AE3" s="5">
        <f t="shared" si="8"/>
        <v>-41950.20627627246</v>
      </c>
      <c r="AF3" s="5"/>
      <c r="AI3" s="5"/>
      <c r="AL3" s="5"/>
    </row>
    <row r="4" spans="1:40" x14ac:dyDescent="0.3">
      <c r="A4" s="3">
        <v>1.5848931924611109E-9</v>
      </c>
      <c r="B4" s="5">
        <v>631258.14403239801</v>
      </c>
      <c r="C4">
        <v>93443.786597516504</v>
      </c>
      <c r="D4">
        <v>8837612.6089460999</v>
      </c>
      <c r="E4" s="5">
        <v>90.983162902367653</v>
      </c>
      <c r="F4">
        <v>13.014022558387159</v>
      </c>
      <c r="G4">
        <v>1260.150561451271</v>
      </c>
      <c r="H4" s="5">
        <v>806.71735455612281</v>
      </c>
      <c r="I4">
        <v>107.8789871346172</v>
      </c>
      <c r="J4">
        <v>13756.677490046401</v>
      </c>
      <c r="K4">
        <v>7074.5923842732054</v>
      </c>
      <c r="L4">
        <v>1035.7218249575831</v>
      </c>
      <c r="M4">
        <v>121023.3098584101</v>
      </c>
      <c r="W4" s="5">
        <f t="shared" si="0"/>
        <v>-693718.6406091305</v>
      </c>
      <c r="X4" s="5">
        <f t="shared" si="1"/>
        <v>-717923.85602362966</v>
      </c>
      <c r="Y4" s="5">
        <f t="shared" si="2"/>
        <v>-701214.02383919363</v>
      </c>
      <c r="Z4" s="5">
        <f t="shared" si="3"/>
        <v>-78150.22487333657</v>
      </c>
      <c r="AA4" s="5">
        <f t="shared" si="4"/>
        <v>-86519.080396919482</v>
      </c>
      <c r="AB4" s="5">
        <f t="shared" si="5"/>
        <v>-64142.34787317305</v>
      </c>
      <c r="AC4" s="5">
        <f t="shared" si="6"/>
        <v>-8822.8906733295717</v>
      </c>
      <c r="AD4" s="5">
        <f t="shared" si="7"/>
        <v>-8922.0930317214661</v>
      </c>
      <c r="AE4" s="5">
        <f t="shared" si="8"/>
        <v>-7202.405312898456</v>
      </c>
      <c r="AF4" s="5"/>
      <c r="AI4" s="5"/>
      <c r="AL4" s="5"/>
    </row>
    <row r="5" spans="1:40" x14ac:dyDescent="0.3">
      <c r="A5" s="3">
        <v>6.3095734448019429E-9</v>
      </c>
      <c r="B5" s="5">
        <v>243.71656631852699</v>
      </c>
      <c r="C5">
        <v>36.227778733925803</v>
      </c>
      <c r="D5">
        <v>3443.7999268557101</v>
      </c>
      <c r="E5" s="5">
        <v>120.4704932185831</v>
      </c>
      <c r="F5">
        <v>17.55344387409647</v>
      </c>
      <c r="G5">
        <v>1926.7792538416211</v>
      </c>
      <c r="H5" s="5">
        <v>1162.6298483930079</v>
      </c>
      <c r="I5">
        <v>158.88083642404669</v>
      </c>
      <c r="J5">
        <v>17896.47086994561</v>
      </c>
      <c r="K5">
        <v>14693.08660362819</v>
      </c>
      <c r="L5">
        <v>1500.6878611410889</v>
      </c>
      <c r="M5">
        <v>174539.9901840502</v>
      </c>
      <c r="W5" s="5">
        <f t="shared" si="0"/>
        <v>-102.30394996086281</v>
      </c>
      <c r="X5" s="5">
        <f t="shared" si="1"/>
        <v>-106.38559016551137</v>
      </c>
      <c r="Y5" s="5">
        <f t="shared" si="2"/>
        <v>-78.733496324991378</v>
      </c>
      <c r="Z5" s="5">
        <f t="shared" si="3"/>
        <v>79.037475542590528</v>
      </c>
      <c r="AA5" s="5">
        <f t="shared" si="4"/>
        <v>77.198144502943521</v>
      </c>
      <c r="AB5" s="5">
        <f t="shared" si="5"/>
        <v>80.757100369777106</v>
      </c>
      <c r="AC5" s="5">
        <f t="shared" si="6"/>
        <v>98.341284082145506</v>
      </c>
      <c r="AD5" s="5">
        <f t="shared" si="7"/>
        <v>97.585921784802125</v>
      </c>
      <c r="AE5" s="5">
        <f t="shared" si="8"/>
        <v>98.026927855774332</v>
      </c>
      <c r="AF5" s="5"/>
      <c r="AI5" s="5"/>
      <c r="AL5" s="5"/>
    </row>
    <row r="6" spans="1:40" x14ac:dyDescent="0.3">
      <c r="A6" s="3">
        <v>2.5118864315095821E-8</v>
      </c>
      <c r="B6" s="5">
        <v>8.3594844251533704</v>
      </c>
      <c r="C6">
        <v>1.5301555395379101</v>
      </c>
      <c r="D6">
        <v>149.41495813319901</v>
      </c>
      <c r="E6" s="5">
        <v>136.96041552360069</v>
      </c>
      <c r="F6">
        <v>7.738832434554741</v>
      </c>
      <c r="G6">
        <v>4997.6207314304747</v>
      </c>
      <c r="H6" s="5">
        <v>1205.274776555282</v>
      </c>
      <c r="I6">
        <v>61.261436371629031</v>
      </c>
      <c r="J6">
        <v>66834.290285052746</v>
      </c>
      <c r="K6">
        <v>13412.175346883279</v>
      </c>
      <c r="L6">
        <v>626.00558040900955</v>
      </c>
      <c r="M6">
        <v>578354.41776134376</v>
      </c>
      <c r="W6" s="5">
        <f t="shared" si="0"/>
        <v>93.896422996969605</v>
      </c>
      <c r="X6" s="5">
        <f t="shared" si="1"/>
        <v>80.227565947731392</v>
      </c>
      <c r="Y6" s="5">
        <f t="shared" si="2"/>
        <v>97.010278167098278</v>
      </c>
      <c r="Z6" s="5">
        <f t="shared" si="3"/>
        <v>99.306425008822885</v>
      </c>
      <c r="AA6" s="5">
        <f t="shared" si="4"/>
        <v>97.502253244185212</v>
      </c>
      <c r="AB6" s="5">
        <f t="shared" si="5"/>
        <v>99.776439672665134</v>
      </c>
      <c r="AC6" s="5">
        <f t="shared" si="6"/>
        <v>99.937672419209051</v>
      </c>
      <c r="AD6" s="5">
        <f t="shared" si="7"/>
        <v>99.755568386700617</v>
      </c>
      <c r="AE6" s="5">
        <f t="shared" si="8"/>
        <v>99.974165502407402</v>
      </c>
      <c r="AF6" s="5"/>
      <c r="AI6" s="5"/>
      <c r="AL6" s="5"/>
    </row>
    <row r="7" spans="1:40" x14ac:dyDescent="0.3">
      <c r="A7" s="3">
        <v>9.9999999999999995E-8</v>
      </c>
      <c r="B7" s="5">
        <v>1.71561839292473</v>
      </c>
      <c r="C7">
        <v>1.27673789828192</v>
      </c>
      <c r="D7">
        <v>14.217154179619</v>
      </c>
      <c r="E7" s="5">
        <v>2.8092603759587012</v>
      </c>
      <c r="F7">
        <v>1.2839935846055719</v>
      </c>
      <c r="G7">
        <v>482.32184940416641</v>
      </c>
      <c r="H7" s="5">
        <v>19.838316988526909</v>
      </c>
      <c r="I7">
        <v>1.3669890063767329</v>
      </c>
      <c r="J7">
        <v>4441.7850326078833</v>
      </c>
      <c r="K7">
        <v>162.1561195933119</v>
      </c>
      <c r="L7">
        <v>5.3119354897968112</v>
      </c>
      <c r="M7">
        <v>48750.569263504723</v>
      </c>
      <c r="W7" s="5">
        <f t="shared" si="0"/>
        <v>38.929890315373484</v>
      </c>
      <c r="X7" s="5">
        <f t="shared" si="1"/>
        <v>0.56508742805601986</v>
      </c>
      <c r="Y7" s="5">
        <f t="shared" si="2"/>
        <v>97.052351205490254</v>
      </c>
      <c r="Z7" s="5">
        <f t="shared" si="3"/>
        <v>91.351996271070163</v>
      </c>
      <c r="AA7" s="5">
        <f t="shared" si="4"/>
        <v>6.6021824370064</v>
      </c>
      <c r="AB7" s="5">
        <f t="shared" si="5"/>
        <v>99.679922506937004</v>
      </c>
      <c r="AC7" s="5">
        <f t="shared" si="6"/>
        <v>98.94199590047694</v>
      </c>
      <c r="AD7" s="5">
        <f t="shared" si="7"/>
        <v>75.964732615177965</v>
      </c>
      <c r="AE7" s="5">
        <f t="shared" si="8"/>
        <v>99.970836947353831</v>
      </c>
      <c r="AF7" s="5"/>
      <c r="AI7" s="5"/>
      <c r="AL7" s="5"/>
    </row>
    <row r="8" spans="1:40" x14ac:dyDescent="0.3">
      <c r="A8" s="3">
        <v>3.9810717055349692E-7</v>
      </c>
      <c r="B8" s="5">
        <v>1.7144363687698101</v>
      </c>
      <c r="C8">
        <v>1.2762671972158</v>
      </c>
      <c r="D8">
        <v>11.382380436221601</v>
      </c>
      <c r="E8" s="5">
        <v>1.713998169970105</v>
      </c>
      <c r="F8">
        <v>1.281778695884803</v>
      </c>
      <c r="G8">
        <v>43.136002190648753</v>
      </c>
      <c r="H8" s="5">
        <v>2.341413639222536</v>
      </c>
      <c r="I8">
        <v>1.2768035343820929</v>
      </c>
      <c r="J8">
        <v>343.42842381087411</v>
      </c>
      <c r="K8">
        <v>13.937979317276911</v>
      </c>
      <c r="L8">
        <v>1.3531679201246261</v>
      </c>
      <c r="M8">
        <v>3029.7113302272028</v>
      </c>
      <c r="W8" s="5">
        <f t="shared" si="0"/>
        <v>-2.5565884922311415E-2</v>
      </c>
      <c r="X8" s="5">
        <f t="shared" si="1"/>
        <v>0.42998831909891227</v>
      </c>
      <c r="Y8" s="5">
        <f t="shared" si="2"/>
        <v>73.612806337697336</v>
      </c>
      <c r="Z8" s="5">
        <f t="shared" si="3"/>
        <v>26.77772350642465</v>
      </c>
      <c r="AA8" s="5">
        <f t="shared" si="4"/>
        <v>4.2006240729317593E-2</v>
      </c>
      <c r="AB8" s="5">
        <f t="shared" si="5"/>
        <v>96.685661509925026</v>
      </c>
      <c r="AC8" s="5">
        <f t="shared" si="6"/>
        <v>87.699534274350157</v>
      </c>
      <c r="AD8" s="5">
        <f t="shared" si="7"/>
        <v>5.6830140417268824</v>
      </c>
      <c r="AE8" s="5">
        <f t="shared" si="8"/>
        <v>99.624308087616782</v>
      </c>
      <c r="AF8" s="5"/>
      <c r="AI8" s="5"/>
      <c r="AL8" s="5"/>
    </row>
    <row r="9" spans="1:40" x14ac:dyDescent="0.3">
      <c r="A9" s="3">
        <v>1.5848931924611141E-6</v>
      </c>
      <c r="B9" s="5">
        <v>1.71499334239287</v>
      </c>
      <c r="C9">
        <v>1.2762649825785499</v>
      </c>
      <c r="D9">
        <v>10.555664975469201</v>
      </c>
      <c r="E9" s="5">
        <v>1.7057429268683939</v>
      </c>
      <c r="F9">
        <v>1.2817734539699619</v>
      </c>
      <c r="G9">
        <v>10.68410659778873</v>
      </c>
      <c r="H9" s="5">
        <v>1.716467062596982</v>
      </c>
      <c r="I9">
        <v>1.2761658649488321</v>
      </c>
      <c r="J9">
        <v>22.915249863959101</v>
      </c>
      <c r="K9">
        <v>1.819422912933282</v>
      </c>
      <c r="L9">
        <v>1.276606276307132</v>
      </c>
      <c r="M9">
        <v>126.83088350389851</v>
      </c>
      <c r="W9" s="5">
        <f t="shared" si="0"/>
        <v>-0.5423100620126361</v>
      </c>
      <c r="X9" s="5">
        <f t="shared" si="1"/>
        <v>0.42975389873701214</v>
      </c>
      <c r="Y9" s="5">
        <f t="shared" si="2"/>
        <v>1.202174661436952</v>
      </c>
      <c r="Z9" s="5">
        <f t="shared" si="3"/>
        <v>8.5857761924207895E-2</v>
      </c>
      <c r="AA9" s="5">
        <f t="shared" si="4"/>
        <v>-7.7668297233282812E-3</v>
      </c>
      <c r="AB9" s="5">
        <f t="shared" si="5"/>
        <v>53.936068608743149</v>
      </c>
      <c r="AC9" s="5">
        <f t="shared" si="6"/>
        <v>5.7397084426099747</v>
      </c>
      <c r="AD9" s="5">
        <f t="shared" si="7"/>
        <v>2.6734454852385375E-2</v>
      </c>
      <c r="AE9" s="5">
        <f t="shared" si="8"/>
        <v>91.677370145304764</v>
      </c>
      <c r="AF9" s="5"/>
      <c r="AI9" s="5"/>
      <c r="AL9" s="5"/>
    </row>
    <row r="10" spans="1:40" x14ac:dyDescent="0.3">
      <c r="A10" s="3">
        <v>6.3095734448019296E-6</v>
      </c>
      <c r="B10" s="5">
        <v>1.7152335277030299</v>
      </c>
      <c r="C10">
        <v>1.2762710764265</v>
      </c>
      <c r="D10">
        <v>9.7083975599057606</v>
      </c>
      <c r="E10" s="5">
        <v>1.705955252999896</v>
      </c>
      <c r="F10">
        <v>1.281780196180921</v>
      </c>
      <c r="G10">
        <v>9.7354691556613737</v>
      </c>
      <c r="H10" s="5">
        <v>1.7150491904572149</v>
      </c>
      <c r="I10">
        <v>1.2761815827714871</v>
      </c>
      <c r="J10">
        <v>9.6443127230552363</v>
      </c>
      <c r="K10">
        <v>1.716737390196212</v>
      </c>
      <c r="L10">
        <v>1.276284454875267</v>
      </c>
      <c r="M10">
        <v>17.457630716578681</v>
      </c>
      <c r="W10" s="5">
        <f t="shared" si="0"/>
        <v>-0.54387561964583842</v>
      </c>
      <c r="X10" s="5">
        <f t="shared" si="1"/>
        <v>0.4298022212260354</v>
      </c>
      <c r="Y10" s="5">
        <f t="shared" si="2"/>
        <v>0.2780718147504011</v>
      </c>
      <c r="Z10" s="5">
        <f t="shared" si="3"/>
        <v>-1.0748219167164027E-2</v>
      </c>
      <c r="AA10" s="5">
        <f t="shared" si="4"/>
        <v>-7.0126113886175741E-3</v>
      </c>
      <c r="AB10" s="5">
        <f t="shared" si="5"/>
        <v>-0.66448319015336443</v>
      </c>
      <c r="AC10" s="5">
        <f t="shared" si="6"/>
        <v>8.7600031418325203E-2</v>
      </c>
      <c r="AD10" s="5">
        <f t="shared" si="7"/>
        <v>1.048234092010418E-3</v>
      </c>
      <c r="AE10" s="5">
        <f t="shared" si="8"/>
        <v>44.388802137473576</v>
      </c>
      <c r="AF10" s="5"/>
      <c r="AI10" s="5"/>
      <c r="AL10" s="5"/>
    </row>
    <row r="11" spans="1:40" x14ac:dyDescent="0.3">
      <c r="A11" s="3">
        <v>2.5118864315095771E-5</v>
      </c>
      <c r="B11" s="5">
        <v>1.71549325269492</v>
      </c>
      <c r="C11">
        <v>1.2762744391141001</v>
      </c>
      <c r="D11">
        <v>8.9114215968771706</v>
      </c>
      <c r="E11" s="5">
        <v>1.7062138247195351</v>
      </c>
      <c r="F11">
        <v>1.281783450937046</v>
      </c>
      <c r="G11">
        <v>8.944095867320657</v>
      </c>
      <c r="H11" s="5">
        <v>1.7152753042754381</v>
      </c>
      <c r="I11">
        <v>1.27618478645888</v>
      </c>
      <c r="J11">
        <v>8.9320396762009224</v>
      </c>
      <c r="K11">
        <v>1.715517230669291</v>
      </c>
      <c r="L11">
        <v>1.2762736515868749</v>
      </c>
      <c r="M11">
        <v>9.0103349042390182</v>
      </c>
      <c r="W11" s="5">
        <f t="shared" si="0"/>
        <v>-0.54386078936561688</v>
      </c>
      <c r="X11" s="5">
        <f t="shared" si="1"/>
        <v>0.42979270944078629</v>
      </c>
      <c r="Y11" s="5">
        <f t="shared" si="2"/>
        <v>0.36531663935836645</v>
      </c>
      <c r="Z11" s="5">
        <f t="shared" si="3"/>
        <v>-1.2706322940621925E-2</v>
      </c>
      <c r="AA11" s="5">
        <f t="shared" si="4"/>
        <v>-7.0250528114240863E-3</v>
      </c>
      <c r="AB11" s="5">
        <f t="shared" si="5"/>
        <v>0.23083282286226176</v>
      </c>
      <c r="AC11" s="5">
        <f t="shared" si="6"/>
        <v>1.3977110775839239E-3</v>
      </c>
      <c r="AD11" s="5">
        <f t="shared" si="7"/>
        <v>-6.1705201249813709E-5</v>
      </c>
      <c r="AE11" s="5">
        <f t="shared" si="8"/>
        <v>1.0977761472030594</v>
      </c>
      <c r="AF11" s="5"/>
      <c r="AI11" s="5"/>
      <c r="AL11" s="5"/>
    </row>
    <row r="12" spans="1:40" x14ac:dyDescent="0.3">
      <c r="A12" s="3">
        <v>1E-4</v>
      </c>
      <c r="B12" s="5">
        <v>1.71573761688594</v>
      </c>
      <c r="C12">
        <v>1.2762748475291199</v>
      </c>
      <c r="D12">
        <v>8.1855102754837397</v>
      </c>
      <c r="E12" s="5">
        <v>1.70643697629553</v>
      </c>
      <c r="F12">
        <v>1.2817614682660461</v>
      </c>
      <c r="G12">
        <v>8.221499085254397</v>
      </c>
      <c r="H12" s="5">
        <v>1.7155212721138571</v>
      </c>
      <c r="I12">
        <v>1.276185231069171</v>
      </c>
      <c r="J12">
        <v>8.1855274780582157</v>
      </c>
      <c r="K12">
        <v>1.715736195792573</v>
      </c>
      <c r="L12">
        <v>1.2762739466446871</v>
      </c>
      <c r="M12">
        <v>8.1760769245159413</v>
      </c>
      <c r="N12">
        <v>1.7157373504329421</v>
      </c>
      <c r="O12">
        <v>1.2762751150430951</v>
      </c>
      <c r="P12">
        <v>8.2735865638308237</v>
      </c>
      <c r="Q12">
        <v>1.7159460223125129</v>
      </c>
      <c r="R12">
        <v>1.2762686205079901</v>
      </c>
      <c r="S12">
        <v>11.31068984940287</v>
      </c>
      <c r="T12">
        <v>1.725446554188337</v>
      </c>
      <c r="U12">
        <v>1.276315413643436</v>
      </c>
      <c r="V12">
        <v>40.211388497172933</v>
      </c>
      <c r="W12" s="5">
        <f t="shared" si="0"/>
        <v>-0.54503276239363319</v>
      </c>
      <c r="X12" s="5">
        <f t="shared" si="1"/>
        <v>0.42805318093610889</v>
      </c>
      <c r="Y12" s="5">
        <f>100*(G12-D12)/G12</f>
        <v>0.43774023930994244</v>
      </c>
      <c r="Z12" s="5">
        <f t="shared" si="3"/>
        <v>-1.2611022410482738E-2</v>
      </c>
      <c r="AA12" s="5">
        <f t="shared" si="4"/>
        <v>-7.0222141556827043E-3</v>
      </c>
      <c r="AB12" s="5">
        <f>100*(J12-D12)/J12</f>
        <v>2.1015841095309689E-4</v>
      </c>
      <c r="AC12" s="5">
        <f>100*(K12-B12)/K12</f>
        <v>-8.2827031945071112E-5</v>
      </c>
      <c r="AD12" s="5">
        <f t="shared" si="7"/>
        <v>-7.0587073817425175E-5</v>
      </c>
      <c r="AE12" s="5">
        <f>100*(M12-D12)/M12</f>
        <v>-0.11537747326609087</v>
      </c>
      <c r="AF12" s="5">
        <f t="shared" ref="AF12:AH13" si="9">100*(N12-B12)/N12</f>
        <v>-1.5529940979645365E-5</v>
      </c>
      <c r="AG12" s="5">
        <f t="shared" si="9"/>
        <v>2.096052583340898E-5</v>
      </c>
      <c r="AH12" s="5">
        <f>100*(P12-D12)/P12</f>
        <v>1.0645478556074124</v>
      </c>
      <c r="AI12" s="5">
        <f t="shared" ref="AI12:AK13" si="10">100*(Q12-B12)/Q12</f>
        <v>1.214522041270893E-2</v>
      </c>
      <c r="AJ12" s="5">
        <f t="shared" si="10"/>
        <v>-4.8790834701921025E-4</v>
      </c>
      <c r="AK12" s="5">
        <f>100*(S12-D12)/S12</f>
        <v>27.630318004733539</v>
      </c>
      <c r="AL12" s="5">
        <f>100*(T12-B12)/T12</f>
        <v>0.56269128005325186</v>
      </c>
      <c r="AM12" s="5">
        <f t="shared" ref="AM12:AN13" si="11">100*(U12-C12)/U12</f>
        <v>3.1783769029576823E-3</v>
      </c>
      <c r="AN12" s="5">
        <f>100*(V12-D12)/V12</f>
        <v>79.643800969321873</v>
      </c>
    </row>
    <row r="13" spans="1:40" x14ac:dyDescent="0.3">
      <c r="A13" s="3">
        <v>3.9810717055349692E-4</v>
      </c>
      <c r="B13" s="5">
        <v>1.7159373675238201</v>
      </c>
      <c r="C13">
        <v>1.2762881817958101</v>
      </c>
      <c r="D13">
        <v>7.5581872887178898</v>
      </c>
      <c r="E13" s="5">
        <v>1.7067072169605799</v>
      </c>
      <c r="F13">
        <v>1.281818574778643</v>
      </c>
      <c r="G13">
        <v>7.597351965716399</v>
      </c>
      <c r="H13" s="5">
        <v>1.715645087993444</v>
      </c>
      <c r="I13">
        <v>1.276134980310347</v>
      </c>
      <c r="J13">
        <v>7.5571837700142028</v>
      </c>
      <c r="K13">
        <v>1.715935167449876</v>
      </c>
      <c r="L13">
        <v>1.27628719213071</v>
      </c>
      <c r="M13">
        <v>7.5577927047213853</v>
      </c>
      <c r="N13">
        <v>1.715935899352917</v>
      </c>
      <c r="O13">
        <v>1.276288202595548</v>
      </c>
      <c r="P13">
        <v>7.558845112089343</v>
      </c>
      <c r="Q13">
        <v>1.715944553920405</v>
      </c>
      <c r="R13">
        <v>1.2762890726614691</v>
      </c>
      <c r="S13">
        <v>7.531574657483052</v>
      </c>
      <c r="T13">
        <v>1.7159398474028309</v>
      </c>
      <c r="U13">
        <v>1.276300988509826</v>
      </c>
      <c r="V13">
        <v>8.1294269423988155</v>
      </c>
      <c r="W13" s="5">
        <f t="shared" si="0"/>
        <v>-0.54081628480354393</v>
      </c>
      <c r="X13" s="5">
        <f t="shared" si="1"/>
        <v>0.43144896568440033</v>
      </c>
      <c r="Y13" s="5">
        <f>100*(G13-D13)/G13</f>
        <v>0.51550431222934878</v>
      </c>
      <c r="Z13" s="5">
        <f t="shared" si="3"/>
        <v>-1.7036130165941125E-2</v>
      </c>
      <c r="AA13" s="5">
        <f t="shared" si="4"/>
        <v>-1.2005116059571757E-2</v>
      </c>
      <c r="AB13" s="5">
        <f t="shared" si="5"/>
        <v>-1.3279003584229268E-2</v>
      </c>
      <c r="AC13" s="5">
        <f t="shared" si="6"/>
        <v>-1.2821428139420747E-4</v>
      </c>
      <c r="AD13" s="5">
        <f t="shared" si="7"/>
        <v>-7.7542508159209912E-5</v>
      </c>
      <c r="AE13" s="5">
        <f t="shared" si="8"/>
        <v>-5.2208893776352931E-3</v>
      </c>
      <c r="AF13" s="5">
        <f t="shared" si="9"/>
        <v>-8.5560941036759598E-5</v>
      </c>
      <c r="AG13" s="5">
        <f t="shared" si="9"/>
        <v>1.6297054136917727E-6</v>
      </c>
      <c r="AH13" s="5">
        <f t="shared" si="9"/>
        <v>8.702696796909477E-3</v>
      </c>
      <c r="AI13" s="5">
        <f t="shared" si="10"/>
        <v>4.1880121175857476E-4</v>
      </c>
      <c r="AJ13" s="5">
        <f t="shared" si="10"/>
        <v>6.9801244726035353E-5</v>
      </c>
      <c r="AK13" s="5">
        <f t="shared" si="10"/>
        <v>-0.3533475062667889</v>
      </c>
      <c r="AL13" s="5">
        <f>100*(T13-B13)/T13</f>
        <v>1.4452015987400109E-4</v>
      </c>
      <c r="AM13" s="5">
        <f t="shared" si="11"/>
        <v>1.003424280888991E-3</v>
      </c>
      <c r="AN13" s="5">
        <f t="shared" si="11"/>
        <v>7.0268133009676257</v>
      </c>
    </row>
    <row r="14" spans="1:40" x14ac:dyDescent="0.3">
      <c r="A14" s="3">
        <v>1.584893192461111E-3</v>
      </c>
      <c r="B14" s="5">
        <v>1.71571532889755</v>
      </c>
      <c r="C14">
        <v>1.27600122015833</v>
      </c>
      <c r="D14">
        <v>7.0617272810023204</v>
      </c>
      <c r="E14" s="5">
        <v>1.70907152923503</v>
      </c>
      <c r="F14">
        <v>1.283714485977421</v>
      </c>
      <c r="G14">
        <v>7.0888592861229824</v>
      </c>
      <c r="H14" s="5">
        <v>1.7153768252394159</v>
      </c>
      <c r="I14">
        <v>1.2758091031237631</v>
      </c>
      <c r="J14">
        <v>7.061950071431724</v>
      </c>
      <c r="K14">
        <v>1.715713162021506</v>
      </c>
      <c r="L14">
        <v>1.2760003055768161</v>
      </c>
      <c r="M14">
        <v>7.0619646868348456</v>
      </c>
      <c r="W14" s="5">
        <f t="shared" si="0"/>
        <v>-0.38873736697806077</v>
      </c>
      <c r="X14" s="5">
        <f t="shared" si="1"/>
        <v>0.6008552449432053</v>
      </c>
      <c r="Y14" s="5">
        <f t="shared" si="2"/>
        <v>0.38274148245226358</v>
      </c>
      <c r="Z14" s="5">
        <f t="shared" si="3"/>
        <v>-1.9733486727430409E-2</v>
      </c>
      <c r="AA14" s="5">
        <f t="shared" si="4"/>
        <v>-1.5058446761079409E-2</v>
      </c>
      <c r="AB14" s="5">
        <f t="shared" si="5"/>
        <v>3.1548004042810229E-3</v>
      </c>
      <c r="AC14" s="5">
        <f t="shared" si="6"/>
        <v>-1.262959387323609E-4</v>
      </c>
      <c r="AD14" s="5">
        <f t="shared" si="7"/>
        <v>-7.167565006515872E-5</v>
      </c>
      <c r="AE14" s="5">
        <f t="shared" si="8"/>
        <v>3.3617533229494023E-3</v>
      </c>
      <c r="AF14" s="5"/>
      <c r="AI14" s="5"/>
      <c r="AL14" s="5"/>
    </row>
    <row r="15" spans="1:40" x14ac:dyDescent="0.3">
      <c r="A15" s="3">
        <v>6.3095734448019303E-3</v>
      </c>
      <c r="B15" s="5">
        <v>54.013642173702799</v>
      </c>
      <c r="C15">
        <v>9.2152158657454901</v>
      </c>
      <c r="D15">
        <v>779.38937142882401</v>
      </c>
      <c r="E15" s="5">
        <v>15.261837113317631</v>
      </c>
      <c r="F15">
        <v>4.3055474268366014</v>
      </c>
      <c r="G15">
        <v>160.8878097842493</v>
      </c>
      <c r="H15" s="5">
        <v>36.496633631204652</v>
      </c>
      <c r="I15">
        <v>7.4595547920368492</v>
      </c>
      <c r="J15">
        <v>535.68962095007078</v>
      </c>
      <c r="K15">
        <v>53.641676969637373</v>
      </c>
      <c r="L15">
        <v>9.1660563131406434</v>
      </c>
      <c r="M15">
        <v>774.20616052429125</v>
      </c>
      <c r="W15" s="5">
        <f t="shared" si="0"/>
        <v>-253.91310870805953</v>
      </c>
      <c r="X15" s="5">
        <f t="shared" si="1"/>
        <v>-114.03122419014092</v>
      </c>
      <c r="Y15" s="5">
        <f t="shared" si="2"/>
        <v>-384.43034464449852</v>
      </c>
      <c r="Z15" s="5">
        <f t="shared" si="3"/>
        <v>-47.996230883938537</v>
      </c>
      <c r="AA15" s="5">
        <f t="shared" si="4"/>
        <v>-23.535735344190069</v>
      </c>
      <c r="AB15" s="5">
        <f t="shared" si="5"/>
        <v>-45.492714614582276</v>
      </c>
      <c r="AC15" s="5">
        <f t="shared" si="6"/>
        <v>-0.69342575601424172</v>
      </c>
      <c r="AD15" s="5">
        <f t="shared" si="7"/>
        <v>-0.53632173887444479</v>
      </c>
      <c r="AE15" s="5">
        <f t="shared" si="8"/>
        <v>-0.66948716876945213</v>
      </c>
      <c r="AF15" s="5"/>
      <c r="AI15" s="5"/>
      <c r="AL15" s="5"/>
    </row>
    <row r="16" spans="1:40" x14ac:dyDescent="0.3">
      <c r="A16" s="3">
        <v>2.5118864315095819E-2</v>
      </c>
      <c r="B16" s="5">
        <v>434.85259354109598</v>
      </c>
      <c r="C16">
        <v>505.56405368639997</v>
      </c>
      <c r="D16">
        <v>1906.9511300423601</v>
      </c>
      <c r="E16" s="5">
        <v>3701.0953801215151</v>
      </c>
      <c r="F16">
        <v>1971.370883849263</v>
      </c>
      <c r="G16">
        <v>35269.685321836223</v>
      </c>
      <c r="H16" s="5">
        <v>37098.603756751712</v>
      </c>
      <c r="I16">
        <v>19518.26251322333</v>
      </c>
      <c r="J16">
        <v>350123.39705123729</v>
      </c>
      <c r="K16">
        <v>372141.77072143077</v>
      </c>
      <c r="L16">
        <v>189168.13911742001</v>
      </c>
      <c r="M16">
        <v>3501226.4379743491</v>
      </c>
      <c r="W16" s="5">
        <f t="shared" si="0"/>
        <v>88.250705564718004</v>
      </c>
      <c r="X16" s="5">
        <f t="shared" si="1"/>
        <v>74.354696123986329</v>
      </c>
      <c r="Y16" s="5">
        <f t="shared" si="2"/>
        <v>94.593228965210727</v>
      </c>
      <c r="Z16" s="5">
        <f t="shared" si="3"/>
        <v>98.827846469930947</v>
      </c>
      <c r="AA16" s="5">
        <f t="shared" si="4"/>
        <v>97.409789660612006</v>
      </c>
      <c r="AB16" s="5">
        <f t="shared" si="5"/>
        <v>99.455348843835395</v>
      </c>
      <c r="AC16" s="5">
        <f t="shared" si="6"/>
        <v>99.883148674039447</v>
      </c>
      <c r="AD16" s="5">
        <f t="shared" si="7"/>
        <v>99.732743549709184</v>
      </c>
      <c r="AE16" s="5">
        <f t="shared" si="8"/>
        <v>99.945534767207292</v>
      </c>
      <c r="AF16" s="5"/>
      <c r="AI16" s="5"/>
      <c r="AL16" s="5"/>
    </row>
    <row r="18" spans="31:34" x14ac:dyDescent="0.3">
      <c r="AE18" t="s">
        <v>16</v>
      </c>
      <c r="AF18" t="s">
        <v>17</v>
      </c>
    </row>
    <row r="19" spans="31:34" x14ac:dyDescent="0.3">
      <c r="AE19" s="3">
        <v>1E-3</v>
      </c>
      <c r="AF19">
        <f>ABS(W12)</f>
        <v>0.54503276239363319</v>
      </c>
      <c r="AG19">
        <f>ABS(X12)</f>
        <v>0.42805318093610889</v>
      </c>
      <c r="AH19">
        <f>ABS(Y12)</f>
        <v>0.43774023930994244</v>
      </c>
    </row>
    <row r="20" spans="31:34" x14ac:dyDescent="0.3">
      <c r="AE20" s="3">
        <v>1E-4</v>
      </c>
      <c r="AF20">
        <f>ABS(Z12)</f>
        <v>1.2611022410482738E-2</v>
      </c>
      <c r="AG20">
        <f t="shared" ref="AG20:AH20" si="12">ABS(AA12)</f>
        <v>7.0222141556827043E-3</v>
      </c>
      <c r="AH20">
        <f t="shared" si="12"/>
        <v>2.1015841095309689E-4</v>
      </c>
    </row>
    <row r="21" spans="31:34" x14ac:dyDescent="0.3">
      <c r="AE21" s="3">
        <v>1.0000000000000001E-5</v>
      </c>
      <c r="AF21">
        <f xml:space="preserve"> ABS(AC12)</f>
        <v>8.2827031945071112E-5</v>
      </c>
      <c r="AG21">
        <f t="shared" ref="AG21:AH21" si="13" xml:space="preserve"> ABS(AD12)</f>
        <v>7.0587073817425175E-5</v>
      </c>
      <c r="AH21">
        <f t="shared" si="13"/>
        <v>0.11537747326609087</v>
      </c>
    </row>
    <row r="22" spans="31:34" x14ac:dyDescent="0.3">
      <c r="AE22" s="3">
        <v>9.9999999999999995E-7</v>
      </c>
      <c r="AF22">
        <f>ABS(AF12)</f>
        <v>1.5529940979645365E-5</v>
      </c>
      <c r="AG22">
        <f t="shared" ref="AG22:AH22" si="14">ABS(AG12)</f>
        <v>2.096052583340898E-5</v>
      </c>
      <c r="AH22">
        <f t="shared" si="14"/>
        <v>1.0645478556074124</v>
      </c>
    </row>
    <row r="23" spans="31:34" x14ac:dyDescent="0.3">
      <c r="AE23" s="3">
        <v>9.9999999999999995E-8</v>
      </c>
      <c r="AF23">
        <f xml:space="preserve"> ABS(AI12)</f>
        <v>1.214522041270893E-2</v>
      </c>
      <c r="AG23">
        <f t="shared" ref="AG23:AH23" si="15" xml:space="preserve"> ABS(AJ12)</f>
        <v>4.8790834701921025E-4</v>
      </c>
      <c r="AH23">
        <f t="shared" si="15"/>
        <v>27.630318004733539</v>
      </c>
    </row>
    <row r="24" spans="31:34" x14ac:dyDescent="0.3">
      <c r="AE24" s="3">
        <v>1E-8</v>
      </c>
      <c r="AF24">
        <f xml:space="preserve"> ABS(AL12)</f>
        <v>0.56269128005325186</v>
      </c>
      <c r="AG24">
        <f t="shared" ref="AG24:AH24" si="16" xml:space="preserve"> ABS(AM12)</f>
        <v>3.1783769029576823E-3</v>
      </c>
      <c r="AH24">
        <f xml:space="preserve"> ABS(AN12)</f>
        <v>79.643800969321873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Hoch</dc:creator>
  <cp:lastModifiedBy>Nathan Hoch</cp:lastModifiedBy>
  <dcterms:created xsi:type="dcterms:W3CDTF">2024-10-28T14:34:16Z</dcterms:created>
  <dcterms:modified xsi:type="dcterms:W3CDTF">2024-10-28T17:46:45Z</dcterms:modified>
</cp:coreProperties>
</file>